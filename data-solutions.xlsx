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4"/>
  <workbookPr/>
  <mc:AlternateContent xmlns:mc="http://schemas.openxmlformats.org/markup-compatibility/2006">
    <mc:Choice Requires="x15">
      <x15ac:absPath xmlns:x15ac="http://schemas.microsoft.com/office/spreadsheetml/2010/11/ac" url="https://maqimzmnjbt5wavnbicv98tlhog-my.sharepoint.com/personal/george_stringfestanalytics_com/Documents/"/>
    </mc:Choice>
  </mc:AlternateContent>
  <xr:revisionPtr revIDLastSave="60" documentId="8_{7C4DE393-1D51-4020-B273-B9E8C91A4058}" xr6:coauthVersionLast="47" xr6:coauthVersionMax="47" xr10:uidLastSave="{E9A108BE-3B0A-498A-A97F-DCD851474050}"/>
  <bookViews>
    <workbookView xWindow="-93" yWindow="-93" windowWidth="16826" windowHeight="11280" firstSheet="3" activeTab="3" xr2:uid="{00000000-000D-0000-FFFF-FFFF00000000}"/>
  </bookViews>
  <sheets>
    <sheet name="InvoiceRegister" sheetId="1" r:id="rId1"/>
    <sheet name="InvoiceRegisterClean" sheetId="6" r:id="rId2"/>
    <sheet name="OpenInvoices" sheetId="5" r:id="rId3"/>
    <sheet name="APSummary" sheetId="4" r:id="rId4"/>
    <sheet name="Analysis1" sheetId="7" r:id="rId5"/>
  </sheets>
  <definedNames>
    <definedName name="ExternalData_1" localSheetId="1" hidden="1">InvoiceRegisterClean!$A$1:$I$8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" i="7" l="1" a="1"/>
  <c r="A44" i="7" s="1"/>
  <c r="A37" i="7" a="1"/>
  <c r="A37" i="7" s="1"/>
  <c r="A34" i="7" a="1"/>
  <c r="A34" i="7" s="1"/>
  <c r="A26" i="7" a="1"/>
  <c r="A26" i="7" s="1"/>
  <c r="A23" i="7" a="1"/>
  <c r="A23" i="7" s="1"/>
  <c r="A9" i="7" a="1"/>
  <c r="A9" i="7" s="1"/>
  <c r="A6" i="7" a="1"/>
  <c r="A6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C7E84F-EB67-4AE4-BEC4-2877F1433504}" keepAlive="1" name="Query - InvoiceRegister" description="Connection to the 'InvoiceRegister' query in the workbook." type="5" refreshedVersion="8" background="1" saveData="1">
    <dbPr connection="Provider=Microsoft.Mashup.OleDb.1;Data Source=$Workbook$;Location=InvoiceRegister;Extended Properties=&quot;&quot;" command="SELECT * FROM [InvoiceRegister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2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12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OpenInvoices_df=xl(%P2%, headers=True)</code>
    </pythonScript>
    <pythonScript>
      <code>#Vendor-level summary statistics for invoice amount and days outstanding
# Vendor-level summary statistics
vendor_summary = OpenInvoices_df.groupby('Vendor').agg({
    'Invoice Amount': ['count', 'sum', 'mean', 'max', 'min'],
    'Days Outstanding': ['mean', 'max', 'min']
})
vendor_summary.columns = ['_'.join(col) for col in vendor_summary.columns]
vendor_summary.reset_index(inplace=True)
vendor_summary</code>
    </pythonScript>
    <pythonScript>
      <code>#Payment term effectiveness summary
# Payment term effectiveness: average days outstanding by payment terms
payment_term_summary = OpenInvoices_df.groupby('Payment Terms').agg({
    'Invoice Amount': ['count', 'sum', 'mean'],
    'Days Outstanding': ['mean', 'max', 'min']
})
payment_term_summary.columns = ['_'.join(col) for col in payment_term_summary.columns]
payment_term_summary.reset_index(inplace=True)
payment_term_summary</code>
    </pythonScript>
    <pythonScript>
      <code>#Visualize invoice amount and days outstanding by vendor
# Visualize invoice amount and days outstanding by vendor
plt.rcParams['font.family'] = ['Meiryo','Batang','TH SarabunPSK','SimHei','DejaVu Sans']
fig, axes = plt.subplots(2, 1, figsize=(8, 10))
# Bar plot: Total invoice amount by vendor
OpenInvoices_df.groupby('Vendor')['Invoice Amount'].sum().plot(kind='bar', ax=axes[0], color='skyblue')
axes[0].set_title('Total Invoice Amount by Vendor')
axes[0].set_ylabel('Total Invoice Amount')
axes[0].set_xlabel('Vendor')
# Box plot: Days outstanding by vendor
OpenInvoices_df.boxplot(column='Days Outstanding', by='Vendor', ax=axes[1], grid=False, patch_artist=True)
axes[1].set_title('Days Outstanding by Vendor')
axes[1].set_ylabel('Days Outstanding')
axes[1].set_xlabel('Vendor')
plt.suptitle('')
plt.tight_layout()
plt.show()</code>
    </pythonScript>
  </pythonScripts>
</python>
</file>

<file path=xl/sharedStrings.xml><?xml version="1.0" encoding="utf-8"?>
<sst xmlns="http://schemas.openxmlformats.org/spreadsheetml/2006/main" count="242" uniqueCount="95">
  <si>
    <t>Vendor Name</t>
  </si>
  <si>
    <t>Invoice Number</t>
  </si>
  <si>
    <t>Invoice Date</t>
  </si>
  <si>
    <t>Due Date</t>
  </si>
  <si>
    <t>Invoice Amount</t>
  </si>
  <si>
    <t>Currency</t>
  </si>
  <si>
    <t>Cost Center</t>
  </si>
  <si>
    <t>Payment Status</t>
  </si>
  <si>
    <t>Source System</t>
  </si>
  <si>
    <t>Acme Systems</t>
  </si>
  <si>
    <t>INV-1001</t>
  </si>
  <si>
    <t>2024-01-05</t>
  </si>
  <si>
    <t>2024-02-04</t>
  </si>
  <si>
    <t>USD</t>
  </si>
  <si>
    <t>FIN-100</t>
  </si>
  <si>
    <t>Paid</t>
  </si>
  <si>
    <t>ERP_A</t>
  </si>
  <si>
    <t>ACME systems</t>
  </si>
  <si>
    <t>INV-1002</t>
  </si>
  <si>
    <t>2024-01-07</t>
  </si>
  <si>
    <t>2024-02-06</t>
  </si>
  <si>
    <t>INV-1003</t>
  </si>
  <si>
    <t>2024-01-10</t>
  </si>
  <si>
    <t>2024-02-09</t>
  </si>
  <si>
    <t>OPEN</t>
  </si>
  <si>
    <t>ERP_B</t>
  </si>
  <si>
    <t>Northwind Tech</t>
  </si>
  <si>
    <t>INV-2001</t>
  </si>
  <si>
    <t>2024-01-12</t>
  </si>
  <si>
    <t>2024-02-11</t>
  </si>
  <si>
    <t>IT-300</t>
  </si>
  <si>
    <t>Northwind tech</t>
  </si>
  <si>
    <t>INV-2002</t>
  </si>
  <si>
    <t>2024-01-14</t>
  </si>
  <si>
    <t>2024-02-13</t>
  </si>
  <si>
    <t>PaperTrail Office</t>
  </si>
  <si>
    <t>PT-3001</t>
  </si>
  <si>
    <t>2024-01-18</t>
  </si>
  <si>
    <t>2024-02-17</t>
  </si>
  <si>
    <t>OPS-400</t>
  </si>
  <si>
    <t>PT-3002</t>
  </si>
  <si>
    <t>2024-01-20</t>
  </si>
  <si>
    <t>2024-02-19</t>
  </si>
  <si>
    <t>CloudCart</t>
  </si>
  <si>
    <t>CC-4001</t>
  </si>
  <si>
    <t>2024-01-22</t>
  </si>
  <si>
    <t>2024-02-21</t>
  </si>
  <si>
    <t>usd</t>
  </si>
  <si>
    <t>Open</t>
  </si>
  <si>
    <t>Papertrail Office</t>
  </si>
  <si>
    <t>Cloudcart</t>
  </si>
  <si>
    <t>Vendor</t>
  </si>
  <si>
    <t>Payment Terms</t>
  </si>
  <si>
    <t>Days Outstanding</t>
  </si>
  <si>
    <t>Status</t>
  </si>
  <si>
    <t>2024-01-17</t>
  </si>
  <si>
    <t>2024-03-17</t>
  </si>
  <si>
    <t>Net 60</t>
  </si>
  <si>
    <t>2024-04-11</t>
  </si>
  <si>
    <t>2024-03-07</t>
  </si>
  <si>
    <t>2024-04-06</t>
  </si>
  <si>
    <t>Net 30</t>
  </si>
  <si>
    <t>2024-03-19</t>
  </si>
  <si>
    <t>2024-05-03</t>
  </si>
  <si>
    <t>Net 45</t>
  </si>
  <si>
    <t>2024-03-28</t>
  </si>
  <si>
    <t>2024-05-12</t>
  </si>
  <si>
    <t>2024-04-12</t>
  </si>
  <si>
    <t>2024-06-11</t>
  </si>
  <si>
    <t>2024-04-01</t>
  </si>
  <si>
    <t>2024-05-16</t>
  </si>
  <si>
    <t>2024-03-18</t>
  </si>
  <si>
    <t>2024-04-17</t>
  </si>
  <si>
    <t>2024-05-21</t>
  </si>
  <si>
    <t>2024-04-10</t>
  </si>
  <si>
    <t>2024-05-10</t>
  </si>
  <si>
    <t>Month</t>
  </si>
  <si>
    <t>Actual Spend</t>
  </si>
  <si>
    <t>Budget</t>
  </si>
  <si>
    <t>Variance</t>
  </si>
  <si>
    <t>Invoice Count</t>
  </si>
  <si>
    <t>2024-01</t>
  </si>
  <si>
    <t>HR-200</t>
  </si>
  <si>
    <t>2024-02</t>
  </si>
  <si>
    <t>2024-03</t>
  </si>
  <si>
    <t>2024-04</t>
  </si>
  <si>
    <t>2024-05</t>
  </si>
  <si>
    <t>2024-06</t>
  </si>
  <si>
    <t>Analysis Sheet</t>
  </si>
  <si>
    <t>This sheet will include all the Python formulas generated by Copilot.</t>
  </si>
  <si>
    <t>Load data from OpenInvoices, OpenInvoices</t>
  </si>
  <si>
    <t>Preview</t>
  </si>
  <si>
    <t>Vendor-level summary statistics for invoice amount and days outstanding</t>
  </si>
  <si>
    <t>Payment term effectiveness summary</t>
  </si>
  <si>
    <t>Visualize invoice amount and days outstanding by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</si>
</sst>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  <font>
      <b/>
      <sz val="24"/>
      <color rgb="FF156082"/>
      <name val="Calibri"/>
      <family val="2"/>
      <scheme val="minor"/>
    </font>
    <font>
      <b/>
      <sz val="14"/>
      <color rgb="FF15608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17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microsoft.com/office/2023/09/relationships/Python" Target="python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heetMetadata" Target="metadata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Array" Target="richData/rdarray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43</xdr:row>
      <xdr:rowOff>182033</xdr:rowOff>
    </xdr:from>
    <xdr:to>
      <xdr:col>3</xdr:col>
      <xdr:colOff>429500</xdr:colOff>
      <xdr:row>60</xdr:row>
      <xdr:rowOff>1057</xdr:rowOff>
    </xdr:to>
    <xdr:pic>
      <xdr:nvPicPr>
        <xdr:cNvPr id="2" name="Picture 1" title="Visualize invoice amount and days outstanding by vendor">
          <a:extLst>
            <a:ext uri="{FF2B5EF4-FFF2-40B4-BE49-F238E27FC236}">
              <a16:creationId xmlns:a16="http://schemas.microsoft.com/office/drawing/2014/main" id="{39016CD1-801C-0B82-D7CD-D85DB099AACE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Analysis1!A44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8453966"/>
          <a:ext cx="2359899" cy="2912533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9C7E14-F315-4135-AE5F-7AB51D48061D}" autoFormatId="16" applyNumberFormats="0" applyBorderFormats="0" applyFontFormats="0" applyPatternFormats="0" applyAlignmentFormats="0" applyWidthHeightFormats="0">
  <queryTableRefresh nextId="10">
    <queryTableFields count="9">
      <queryTableField id="1" name="Vendor Name" tableColumnId="1"/>
      <queryTableField id="2" name="Invoice Number" tableColumnId="2"/>
      <queryTableField id="3" name="Invoice Date" tableColumnId="3"/>
      <queryTableField id="4" name="Due Date" tableColumnId="4"/>
      <queryTableField id="5" name="Invoice Amount" tableColumnId="5"/>
      <queryTableField id="6" name="Currency" tableColumnId="6"/>
      <queryTableField id="7" name="Cost Center" tableColumnId="7"/>
      <queryTableField id="8" name="Payment Status" tableColumnId="8"/>
      <queryTableField id="9" name="Source System" tableColumnId="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4">
  <a r="11" c="8">
    <v t="s"/>
    <v t="s">Vendor</v>
    <v t="s">Invoice Amount</v>
    <v t="s">Invoice Date</v>
    <v t="s">Due Date</v>
    <v t="s">Payment Terms</v>
    <v t="s">Days Outstanding</v>
    <v t="s">Status</v>
    <v>0</v>
    <v t="s">Acme Systems</v>
    <v>8160.94</v>
    <v t="s">2024-01-17</v>
    <v t="s">2024-03-17</v>
    <v t="s">Net 60</v>
    <v>166</v>
    <v t="s">Open</v>
    <v>1</v>
    <v t="s">Northwind Tech</v>
    <v>3035.79</v>
    <v t="s">2024-02-11</v>
    <v t="s">2024-04-11</v>
    <v t="s">Net 60</v>
    <v>141</v>
    <v t="s">Open</v>
    <v>2</v>
    <v t="s">PaperTrail Office</v>
    <v>2149.66</v>
    <v t="s">2024-03-07</v>
    <v t="s">2024-04-06</v>
    <v t="s">Net 30</v>
    <v>116</v>
    <v t="s">Open</v>
    <v>3</v>
    <v t="s">CloudCart</v>
    <v>7031.54</v>
    <v t="s">2024-03-19</v>
    <v t="s">2024-05-03</v>
    <v t="s">Net 45</v>
    <v>104</v>
    <v t="s">Open</v>
    <v>4</v>
    <v t="s">Acme Systems</v>
    <v>6410.1</v>
    <v t="s">2024-03-28</v>
    <v t="s">2024-05-12</v>
    <v t="s">Net 45</v>
    <v>95</v>
    <v t="s">Open</v>
    <v>5</v>
    <v t="s">Northwind Tech</v>
    <v>6955.13</v>
    <v t="s">2024-04-12</v>
    <v t="s">2024-06-11</v>
    <v t="s">Net 60</v>
    <v>80</v>
    <v t="s">Open</v>
    <v>6</v>
    <v t="s">PaperTrail Office</v>
    <v>2692.56</v>
    <v t="s">2024-04-01</v>
    <v t="s">2024-05-16</v>
    <v t="s">Net 45</v>
    <v>91</v>
    <v t="s">Open</v>
    <v>7</v>
    <v t="s">CloudCart</v>
    <v>997.22</v>
    <v t="s">2024-03-18</v>
    <v t="s">2024-04-17</v>
    <v t="s">Net 30</v>
    <v>105</v>
    <v t="s">Open</v>
    <v>8</v>
    <v t="s">Acme Systems</v>
    <v>10094.39</v>
    <v t="s">2024-04-06</v>
    <v t="s">2024-05-21</v>
    <v t="s">Net 45</v>
    <v>86</v>
    <v t="s">Open</v>
    <v>9</v>
    <v t="s">Northwind Tech</v>
    <v>2054.7199999999998</v>
    <v t="s">2024-04-10</v>
    <v t="s">2024-05-10</v>
    <v t="s">Net 30</v>
    <v>82</v>
    <v t="s">Open</v>
  </a>
  <a r="5" c="10">
    <v t="s"/>
    <v t="s">Vendor</v>
    <v t="s">Invoice Amount_count</v>
    <v t="s">Invoice Amount_sum</v>
    <v t="s">Invoice Amount_mean</v>
    <v t="s">Invoice Amount_max</v>
    <v t="s">Invoice Amount_min</v>
    <v t="s">Days Outstanding_mean</v>
    <v t="s">Days Outstanding_max</v>
    <v t="s">Days Outstanding_min</v>
    <v>0</v>
    <v t="s">Acme Systems</v>
    <v>3</v>
    <v>24665.43</v>
    <v>8221.81</v>
    <v>10094.39</v>
    <v>6410.1</v>
    <v>115.66666666666667</v>
    <v>166</v>
    <v>86</v>
    <v>1</v>
    <v t="s">CloudCart</v>
    <v>2</v>
    <v>8028.76</v>
    <v>4014.38</v>
    <v>7031.54</v>
    <v>997.22</v>
    <v>104.5</v>
    <v>105</v>
    <v>104</v>
    <v>2</v>
    <v t="s">Northwind Tech</v>
    <v>3</v>
    <v>12045.64</v>
    <v>4015.2133333333331</v>
    <v>6955.13</v>
    <v>2054.7199999999998</v>
    <v>101</v>
    <v>141</v>
    <v>80</v>
    <v>3</v>
    <v t="s">PaperTrail Office</v>
    <v>2</v>
    <v>4842.2199999999993</v>
    <v>2421.1099999999997</v>
    <v>2692.56</v>
    <v>2149.66</v>
    <v>103.5</v>
    <v>116</v>
    <v>91</v>
  </a>
  <a r="4" c="8">
    <v t="s"/>
    <v t="s">Payment Terms</v>
    <v t="s">Invoice Amount_count</v>
    <v t="s">Invoice Amount_sum</v>
    <v t="s">Invoice Amount_mean</v>
    <v t="s">Days Outstanding_mean</v>
    <v t="s">Days Outstanding_max</v>
    <v t="s">Days Outstanding_min</v>
    <v>0</v>
    <v t="s">Net 30</v>
    <v>3</v>
    <v>5201.5999999999995</v>
    <v>1733.8666666666666</v>
    <v>101</v>
    <v>116</v>
    <v>82</v>
    <v>1</v>
    <v t="s">Net 45</v>
    <v>4</v>
    <v>26228.59</v>
    <v>6557.1475</v>
    <v>94</v>
    <v>104</v>
    <v>86</v>
    <v>2</v>
    <v t="s">Net 60</v>
    <v>3</v>
    <v>18151.86</v>
    <v>6050.62</v>
    <v>129</v>
    <v>166</v>
    <v>80</v>
  </a>
  <a r="2">
    <v>790</v>
    <v>975</v>
  </a>
</arrayData>
</file>

<file path=xl/richData/rdrichvalue.xml><?xml version="1.0" encoding="utf-8"?>
<rvData xmlns="http://schemas.microsoft.com/office/spreadsheetml/2017/richdata" count="13">
  <rv s="0">
    <v>0</v>
  </rv>
  <rv s="1">
    <v>DataFrame</v>
    <v>1</v>
    <v>0</v>
  </rv>
  <rv s="2">
    <v>&lt;class 'pandas.core.frame.DataFrame'&gt;</v>
    <v>DataFrame</v>
    <v xml:space="preserve">              Vendor  Invoice Amount Invoice Date    Due Date Payment Terms  \
0       Acme Systems         8160.94   2024-01-17  2024-03-17        Net 60   
1     Northwind Tech         3035.79   2024-02-11  2024-04-11        Net 60   
2  PaperTrail O...</v>
    <v>1</v>
    <v>2</v>
  </rv>
  <rv s="0">
    <v>1</v>
  </rv>
  <rv s="1">
    <v>DataFrame</v>
    <v>4</v>
    <v>3</v>
  </rv>
  <rv s="2">
    <v>&lt;class 'pandas.core.frame.DataFrame'&gt;</v>
    <v>DataFrame</v>
    <v xml:space="preserve">              Vendor  Invoice Amount_count  Invoice Amount_sum  \
0       Acme Systems                     3            24665.43   
1          CloudCart                     2             8028.76   
2     Northwind Tech                     3            ...</v>
    <v>4</v>
    <v>2</v>
  </rv>
  <rv s="0">
    <v>2</v>
  </rv>
  <rv s="1">
    <v>DataFrame</v>
    <v>6</v>
    <v>6</v>
  </rv>
  <rv s="2">
    <v>&lt;class 'pandas.core.frame.DataFrame'&gt;</v>
    <v>DataFrame</v>
    <v xml:space="preserve">  Payment Terms  Invoice Amount_count  Invoice Amount_sum  \
0        Net 30                     3             5201.60   
1        Net 45                     4            26228.59   
2        Net 60                     3            18151.86   
   Invo...</v>
    <v>7</v>
    <v>2</v>
  </rv>
  <rv s="3">
    <v>0</v>
    <v>9</v>
  </rv>
  <rv s="0">
    <v>3</v>
  </rv>
  <rv s="4">
    <v>Image</v>
    <v>7</v>
    <v>9</v>
    <v>10</v>
  </rv>
  <rv s="2">
    <v>&lt;class 'PIL.PngImagePlugin.PngImageFile'&gt;</v>
    <v>PngImageFile</v>
    <v>&lt;PIL.PngImagePlugin.PngImageFile image mode=RGBA size=790x975 at 0x7F157D35FA40&gt;</v>
    <v>11</v>
    <v>2</v>
  </rv>
</rvData>
</file>

<file path=xl/richData/rdrichvaluestructure.xml><?xml version="1.0" encoding="utf-8"?>
<rvStructures xmlns="http://schemas.microsoft.com/office/spreadsheetml/2017/richdata" count="5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</s>
  <s t="_entity">
    <k n="_DisplayString" t="s"/>
    <k n="_Format" t="spb"/>
    <k n="image" t="r"/>
    <k n="size" t="r"/>
  </s>
</rvStructures>
</file>

<file path=xl/richData/rdsupportingpropertybag.xml><?xml version="1.0" encoding="utf-8"?>
<supportingPropertyBags xmlns="http://schemas.microsoft.com/office/spreadsheetml/2017/richdata2">
  <spbData count="8">
    <spb s="0">
      <v>10</v>
      <v>7</v>
      <v>DataFrame</v>
      <v>arrayPreview</v>
      <v>1</v>
    </spb>
    <spb s="1">
      <v>0</v>
    </spb>
    <spb s="2">
      <v>https://www.anaconda.com/excel</v>
      <v>https://res.cdn.office.net/officepysvc/prod-preview/anacondalogo.png</v>
      <v>Python provided by Anaconda</v>
    </spb>
    <spb s="0">
      <v>4</v>
      <v>9</v>
      <v>DataFrame</v>
      <v>arrayPreview</v>
      <v>1</v>
    </spb>
    <spb s="1">
      <v>3</v>
    </spb>
    <spb s="0">
      <v>3</v>
      <v>7</v>
      <v>DataFrame</v>
      <v>arrayPreview</v>
      <v>1</v>
    </spb>
    <spb s="1">
      <v>5</v>
    </spb>
    <spb s="3">
      <v>1</v>
    </spb>
  </spbData>
</supportingPropertyBags>
</file>

<file path=xl/richData/rdsupportingpropertybagstructure.xml><?xml version="1.0" encoding="utf-8"?>
<spbStructures xmlns="http://schemas.microsoft.com/office/spreadsheetml/2017/richdata2" count="4">
  <s>
    <k n="drw" t="i"/>
    <k n="dcol" t="i"/>
    <k n="name" t="s"/>
    <k n="array" t="s"/>
    <k n="headers" t="b"/>
  </s>
  <s>
    <k n="ArrayCardInfo" t="spb"/>
  </s>
  <s>
    <k n="link" t="s"/>
    <k n="logo" t="s"/>
    <k n="name" t="s"/>
  </s>
  <s>
    <k n="imag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richProperties>
    <rPr n="IsHeroField" t="b"/>
  </richProperties>
  <richStyles>
    <rSty>
      <rpv i="0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9F961D-5FC5-457D-84DE-5929A99EA541}" name="InvoiceRegister" displayName="InvoiceRegister" ref="A1:I9" totalsRowShown="0" headerRowDxfId="16" headerRowBorderDxfId="14" tableBorderDxfId="15">
  <autoFilter ref="A1:I9" xr:uid="{099F961D-5FC5-457D-84DE-5929A99EA541}"/>
  <tableColumns count="9">
    <tableColumn id="1" xr3:uid="{64588E9D-8CBD-4D27-9AEA-49A3298DE8B6}" name="Vendor Name"/>
    <tableColumn id="2" xr3:uid="{ED9C4834-02E6-4F88-A3AF-E6522AC92FE9}" name="Invoice Number"/>
    <tableColumn id="3" xr3:uid="{9551F8A1-D4E8-4D9B-9AFD-30429E5B9D9E}" name="Invoice Date"/>
    <tableColumn id="4" xr3:uid="{E1BD3EDF-E523-42A5-A96D-8E0F05538BBD}" name="Due Date"/>
    <tableColumn id="5" xr3:uid="{68D41F34-721E-43A4-8B8A-B2C328BFDFEA}" name="Invoice Amount"/>
    <tableColumn id="6" xr3:uid="{B017E530-550A-4A31-9F9C-E509EF0B8C73}" name="Currency"/>
    <tableColumn id="7" xr3:uid="{A2943C54-4397-4F0E-9515-A6CC05284B11}" name="Cost Center"/>
    <tableColumn id="8" xr3:uid="{C093A9E1-ED26-4843-973E-98AF335CCAC1}" name="Payment Status"/>
    <tableColumn id="9" xr3:uid="{5457BFEB-F209-4FA5-A1EA-D3DA808263AC}" name="Source Syst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5A9251-1E7A-40CE-9CA9-D544A82B5AD3}" name="InvoiceRegister_1" displayName="InvoiceRegister_1" ref="A1:I8" tableType="queryTable" totalsRowShown="0">
  <autoFilter ref="A1:I8" xr:uid="{D15A9251-1E7A-40CE-9CA9-D544A82B5AD3}"/>
  <tableColumns count="9">
    <tableColumn id="1" xr3:uid="{634B5B59-3267-44F2-B8BD-6346E5B877F7}" uniqueName="1" name="Vendor Name" queryTableFieldId="1" dataDxfId="13"/>
    <tableColumn id="2" xr3:uid="{ED3B47CB-D7BB-4769-9EF8-A6AFE27A6E13}" uniqueName="2" name="Invoice Number" queryTableFieldId="2" dataDxfId="12"/>
    <tableColumn id="3" xr3:uid="{8BFC2DA9-4A75-419D-887B-FD8F802DAEC8}" uniqueName="3" name="Invoice Date" queryTableFieldId="3" dataDxfId="11"/>
    <tableColumn id="4" xr3:uid="{2CDFF422-FA4B-4D06-8A69-4C02DF246B76}" uniqueName="4" name="Due Date" queryTableFieldId="4" dataDxfId="10"/>
    <tableColumn id="5" xr3:uid="{64B15A62-65B8-4414-8D9B-0375CE3B058A}" uniqueName="5" name="Invoice Amount" queryTableFieldId="5"/>
    <tableColumn id="6" xr3:uid="{75C324D4-4777-4537-8AD3-1CE5FAD2DAF2}" uniqueName="6" name="Currency" queryTableFieldId="6" dataDxfId="9"/>
    <tableColumn id="7" xr3:uid="{EE29611D-90ED-4FA3-A372-FF4972AED9F2}" uniqueName="7" name="Cost Center" queryTableFieldId="7" dataDxfId="8"/>
    <tableColumn id="8" xr3:uid="{6F0AACA4-DD2D-4DCF-9F97-6F6722C97AB6}" uniqueName="8" name="Payment Status" queryTableFieldId="8" dataDxfId="7"/>
    <tableColumn id="9" xr3:uid="{E5D950CF-99CA-4ABD-8127-0668696DA2E1}" uniqueName="9" name="Source System" queryTableFieldId="9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6B7E05-C8FA-46CA-A0C5-B43AD56B27AC}" name="OpenInvoices" displayName="OpenInvoices" ref="A1:G11" totalsRowShown="0" headerRowDxfId="5" headerRowBorderDxfId="3" tableBorderDxfId="4">
  <autoFilter ref="A1:G11" xr:uid="{326B7E05-C8FA-46CA-A0C5-B43AD56B27AC}"/>
  <tableColumns count="7">
    <tableColumn id="1" xr3:uid="{FDD3E1BF-3E10-42AE-8F5F-EF4BFFAB61E0}" name="Vendor"/>
    <tableColumn id="2" xr3:uid="{D15EEC15-DC63-4FE0-8AB4-E27B6E1505F2}" name="Invoice Amount"/>
    <tableColumn id="3" xr3:uid="{E298934C-E920-4DAC-A420-1C1C43B6CDAB}" name="Invoice Date"/>
    <tableColumn id="4" xr3:uid="{291E8240-E70B-4B3A-A8F2-1F30DEA08131}" name="Due Date"/>
    <tableColumn id="5" xr3:uid="{79331E13-E6D6-4D7A-A2FF-1078B5E6B2ED}" name="Payment Terms"/>
    <tableColumn id="6" xr3:uid="{A314C026-1A53-41B1-A5A8-13BB31C856B7}" name="Days Outstanding"/>
    <tableColumn id="7" xr3:uid="{5FB02976-0EF9-42E7-AAA5-561746DE089B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6A80E8-B09E-4703-8625-45D3B18A19DA}" name="APSummary" displayName="APSummary" ref="A1:F25" totalsRowShown="0" headerRowDxfId="2" headerRowBorderDxfId="0" tableBorderDxfId="1">
  <autoFilter ref="A1:F25" xr:uid="{286A80E8-B09E-4703-8625-45D3B18A19DA}"/>
  <tableColumns count="6">
    <tableColumn id="1" xr3:uid="{CB0F268B-BB26-4503-AF56-4F79BACBD852}" name="Month"/>
    <tableColumn id="2" xr3:uid="{B75946AB-D541-4B3B-9E1B-4069C5CE24B1}" name="Cost Center"/>
    <tableColumn id="3" xr3:uid="{712E7B28-4C59-421B-9FCB-067FCB553A4A}" name="Actual Spend"/>
    <tableColumn id="4" xr3:uid="{E71654E7-CD18-4420-8F5A-75E70D95A95E}" name="Budget"/>
    <tableColumn id="5" xr3:uid="{2A116E7A-DE7A-4E8B-96B1-C1B86666759A}" name="Variance"/>
    <tableColumn id="6" xr3:uid="{19293F76-CA8A-4559-A40F-183F3641D8FB}" name="Invoice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88" row="8">
    <wetp:webextensionref xmlns:r="http://schemas.openxmlformats.org/officeDocument/2006/relationships" r:id="rId1"/>
  </wetp:taskpane>
  <wetp:taskpane dockstate="right" visibility="1" width="78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805ACEA-99BC-4032-BEF6-DC825782EC86}">
  <we:reference id="WA200003696" version="1.3.0.0" store="Omex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A603F21-DA78-4F1C-9655-42161558B5F7}">
  <we:reference id="WA200003537" version="1.3.0.0" store="Omex" storeType="OMEX"/>
  <we:alternateReferences>
    <we:reference id="WA200003537" version="1.3.0.0" store="WA20000353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_xldudf_LABS_PREVIEW_GENERATIVEAI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B5" sqref="B5"/>
    </sheetView>
  </sheetViews>
  <sheetFormatPr defaultColWidth="12.85546875" defaultRowHeight="14.45"/>
  <cols>
    <col min="1" max="1" width="16.42578125" bestFit="1" customWidth="1"/>
    <col min="2" max="2" width="18.140625" bestFit="1" customWidth="1"/>
    <col min="3" max="3" width="15.28515625" bestFit="1" customWidth="1"/>
    <col min="4" max="4" width="12.7109375" bestFit="1" customWidth="1"/>
    <col min="5" max="5" width="18" bestFit="1" customWidth="1"/>
    <col min="6" max="6" width="12.42578125" bestFit="1" customWidth="1"/>
    <col min="7" max="7" width="14.42578125" bestFit="1" customWidth="1"/>
    <col min="8" max="8" width="17.85546875" bestFit="1" customWidth="1"/>
    <col min="9" max="9" width="17" bestFit="1" customWidth="1"/>
  </cols>
  <sheetData>
    <row r="1" spans="1:9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1250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t="s">
        <v>18</v>
      </c>
      <c r="C3" t="s">
        <v>19</v>
      </c>
      <c r="D3" t="s">
        <v>20</v>
      </c>
      <c r="E3">
        <v>980.5</v>
      </c>
      <c r="F3" t="s">
        <v>13</v>
      </c>
      <c r="G3" t="s">
        <v>14</v>
      </c>
      <c r="H3" t="s">
        <v>15</v>
      </c>
      <c r="I3" t="s">
        <v>16</v>
      </c>
    </row>
    <row r="4" spans="1:9">
      <c r="A4" t="s">
        <v>9</v>
      </c>
      <c r="B4" t="s">
        <v>21</v>
      </c>
      <c r="C4" t="s">
        <v>22</v>
      </c>
      <c r="D4" t="s">
        <v>23</v>
      </c>
      <c r="E4">
        <v>1450</v>
      </c>
      <c r="F4" t="s">
        <v>13</v>
      </c>
      <c r="H4" t="s">
        <v>24</v>
      </c>
      <c r="I4" t="s">
        <v>25</v>
      </c>
    </row>
    <row r="5" spans="1:9">
      <c r="A5" t="s">
        <v>26</v>
      </c>
      <c r="B5" t="s">
        <v>27</v>
      </c>
      <c r="C5" t="s">
        <v>28</v>
      </c>
      <c r="D5" t="s">
        <v>29</v>
      </c>
      <c r="E5">
        <v>2200</v>
      </c>
      <c r="F5" t="s">
        <v>13</v>
      </c>
      <c r="G5" t="s">
        <v>30</v>
      </c>
      <c r="H5" t="s">
        <v>15</v>
      </c>
      <c r="I5" t="s">
        <v>16</v>
      </c>
    </row>
    <row r="6" spans="1:9">
      <c r="A6" t="s">
        <v>31</v>
      </c>
      <c r="B6" t="s">
        <v>32</v>
      </c>
      <c r="C6" t="s">
        <v>33</v>
      </c>
      <c r="D6" t="s">
        <v>34</v>
      </c>
      <c r="E6">
        <v>2100.75</v>
      </c>
      <c r="F6" t="s">
        <v>13</v>
      </c>
      <c r="G6" t="s">
        <v>30</v>
      </c>
      <c r="H6" t="s">
        <v>15</v>
      </c>
      <c r="I6" t="s">
        <v>16</v>
      </c>
    </row>
    <row r="7" spans="1:9">
      <c r="A7" t="s">
        <v>35</v>
      </c>
      <c r="B7" t="s">
        <v>36</v>
      </c>
      <c r="C7" t="s">
        <v>37</v>
      </c>
      <c r="D7" t="s">
        <v>38</v>
      </c>
      <c r="E7">
        <v>340.2</v>
      </c>
      <c r="F7" t="s">
        <v>13</v>
      </c>
      <c r="G7" t="s">
        <v>39</v>
      </c>
      <c r="H7" t="s">
        <v>15</v>
      </c>
      <c r="I7" t="s">
        <v>16</v>
      </c>
    </row>
    <row r="8" spans="1:9">
      <c r="A8" t="s">
        <v>35</v>
      </c>
      <c r="B8" t="s">
        <v>40</v>
      </c>
      <c r="C8" t="s">
        <v>41</v>
      </c>
      <c r="D8" t="s">
        <v>42</v>
      </c>
      <c r="F8" t="s">
        <v>13</v>
      </c>
      <c r="G8" t="s">
        <v>39</v>
      </c>
      <c r="H8" t="s">
        <v>24</v>
      </c>
      <c r="I8" t="s">
        <v>25</v>
      </c>
    </row>
    <row r="9" spans="1:9">
      <c r="A9" t="s">
        <v>43</v>
      </c>
      <c r="B9" t="s">
        <v>44</v>
      </c>
      <c r="C9" t="s">
        <v>45</v>
      </c>
      <c r="D9" t="s">
        <v>46</v>
      </c>
      <c r="E9">
        <v>875.99</v>
      </c>
      <c r="F9" t="s">
        <v>47</v>
      </c>
      <c r="G9" t="s">
        <v>14</v>
      </c>
      <c r="H9" t="s">
        <v>15</v>
      </c>
      <c r="I9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651AF-C326-4148-B178-F16F3CD632D1}">
  <dimension ref="A1:I8"/>
  <sheetViews>
    <sheetView workbookViewId="0">
      <selection sqref="A1:I8"/>
    </sheetView>
  </sheetViews>
  <sheetFormatPr defaultRowHeight="14.45"/>
  <cols>
    <col min="1" max="1" width="14.28515625" bestFit="1" customWidth="1"/>
    <col min="2" max="2" width="16" bestFit="1" customWidth="1"/>
    <col min="3" max="3" width="13" bestFit="1" customWidth="1"/>
    <col min="4" max="4" width="10.42578125" bestFit="1" customWidth="1"/>
    <col min="5" max="5" width="15.85546875" bestFit="1" customWidth="1"/>
    <col min="6" max="6" width="10.28515625" bestFit="1" customWidth="1"/>
    <col min="7" max="7" width="12.28515625" bestFit="1" customWidth="1"/>
    <col min="8" max="8" width="15.7109375" bestFit="1" customWidth="1"/>
    <col min="9" max="9" width="14.855468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s="4">
        <v>45296</v>
      </c>
      <c r="D2" s="4">
        <v>45326</v>
      </c>
      <c r="E2">
        <v>1250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9</v>
      </c>
      <c r="B3" t="s">
        <v>18</v>
      </c>
      <c r="C3" s="4">
        <v>45298</v>
      </c>
      <c r="D3" s="4">
        <v>45328</v>
      </c>
      <c r="E3">
        <v>980.5</v>
      </c>
      <c r="F3" t="s">
        <v>13</v>
      </c>
      <c r="G3" t="s">
        <v>14</v>
      </c>
      <c r="H3" t="s">
        <v>15</v>
      </c>
      <c r="I3" t="s">
        <v>16</v>
      </c>
    </row>
    <row r="4" spans="1:9">
      <c r="A4" t="s">
        <v>9</v>
      </c>
      <c r="B4" t="s">
        <v>21</v>
      </c>
      <c r="C4" s="4">
        <v>45301</v>
      </c>
      <c r="D4" s="4">
        <v>45331</v>
      </c>
      <c r="E4">
        <v>1450</v>
      </c>
      <c r="F4" t="s">
        <v>13</v>
      </c>
      <c r="H4" t="s">
        <v>48</v>
      </c>
      <c r="I4" t="s">
        <v>25</v>
      </c>
    </row>
    <row r="5" spans="1:9">
      <c r="A5" t="s">
        <v>26</v>
      </c>
      <c r="B5" t="s">
        <v>27</v>
      </c>
      <c r="C5" s="4">
        <v>45303</v>
      </c>
      <c r="D5" s="4">
        <v>45333</v>
      </c>
      <c r="E5">
        <v>2200</v>
      </c>
      <c r="F5" t="s">
        <v>13</v>
      </c>
      <c r="G5" t="s">
        <v>30</v>
      </c>
      <c r="H5" t="s">
        <v>15</v>
      </c>
      <c r="I5" t="s">
        <v>16</v>
      </c>
    </row>
    <row r="6" spans="1:9">
      <c r="A6" t="s">
        <v>26</v>
      </c>
      <c r="B6" t="s">
        <v>32</v>
      </c>
      <c r="C6" s="4">
        <v>45305</v>
      </c>
      <c r="D6" s="4">
        <v>45335</v>
      </c>
      <c r="E6">
        <v>2100.75</v>
      </c>
      <c r="F6" t="s">
        <v>13</v>
      </c>
      <c r="G6" t="s">
        <v>30</v>
      </c>
      <c r="H6" t="s">
        <v>15</v>
      </c>
      <c r="I6" t="s">
        <v>16</v>
      </c>
    </row>
    <row r="7" spans="1:9">
      <c r="A7" t="s">
        <v>49</v>
      </c>
      <c r="B7" t="s">
        <v>36</v>
      </c>
      <c r="C7" s="4">
        <v>45309</v>
      </c>
      <c r="D7" s="4">
        <v>45339</v>
      </c>
      <c r="E7">
        <v>340.2</v>
      </c>
      <c r="F7" t="s">
        <v>13</v>
      </c>
      <c r="G7" t="s">
        <v>39</v>
      </c>
      <c r="H7" t="s">
        <v>15</v>
      </c>
      <c r="I7" t="s">
        <v>16</v>
      </c>
    </row>
    <row r="8" spans="1:9">
      <c r="A8" t="s">
        <v>50</v>
      </c>
      <c r="B8" t="s">
        <v>44</v>
      </c>
      <c r="C8" s="4">
        <v>45313</v>
      </c>
      <c r="D8" s="4">
        <v>45343</v>
      </c>
      <c r="E8">
        <v>875.99</v>
      </c>
      <c r="F8" t="s">
        <v>13</v>
      </c>
      <c r="G8" t="s">
        <v>14</v>
      </c>
      <c r="H8" t="s">
        <v>15</v>
      </c>
      <c r="I8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92F07-DCEB-4818-8A8E-1CD49418FC32}">
  <dimension ref="A1:G11"/>
  <sheetViews>
    <sheetView workbookViewId="0">
      <selection activeCell="C4" sqref="C4"/>
    </sheetView>
  </sheetViews>
  <sheetFormatPr defaultRowHeight="14.45"/>
  <cols>
    <col min="2" max="2" width="15.42578125" customWidth="1"/>
    <col min="3" max="3" width="12.7109375" customWidth="1"/>
    <col min="4" max="4" width="10" customWidth="1"/>
    <col min="5" max="5" width="15.140625" customWidth="1"/>
    <col min="6" max="6" width="16.7109375" customWidth="1"/>
  </cols>
  <sheetData>
    <row r="1" spans="1:7" s="2" customFormat="1">
      <c r="A1" s="1" t="s">
        <v>51</v>
      </c>
      <c r="B1" s="1" t="s">
        <v>4</v>
      </c>
      <c r="C1" s="1" t="s">
        <v>2</v>
      </c>
      <c r="D1" s="1" t="s">
        <v>3</v>
      </c>
      <c r="E1" s="1" t="s">
        <v>52</v>
      </c>
      <c r="F1" s="1" t="s">
        <v>53</v>
      </c>
      <c r="G1" s="1" t="s">
        <v>54</v>
      </c>
    </row>
    <row r="2" spans="1:7">
      <c r="A2" t="s">
        <v>9</v>
      </c>
      <c r="B2">
        <v>8160.94</v>
      </c>
      <c r="C2" t="s">
        <v>55</v>
      </c>
      <c r="D2" t="s">
        <v>56</v>
      </c>
      <c r="E2" t="s">
        <v>57</v>
      </c>
      <c r="F2">
        <v>166</v>
      </c>
      <c r="G2" t="s">
        <v>48</v>
      </c>
    </row>
    <row r="3" spans="1:7">
      <c r="A3" t="s">
        <v>26</v>
      </c>
      <c r="B3">
        <v>3035.79</v>
      </c>
      <c r="C3" t="s">
        <v>29</v>
      </c>
      <c r="D3" t="s">
        <v>58</v>
      </c>
      <c r="E3" t="s">
        <v>57</v>
      </c>
      <c r="F3">
        <v>141</v>
      </c>
      <c r="G3" t="s">
        <v>48</v>
      </c>
    </row>
    <row r="4" spans="1:7">
      <c r="A4" t="s">
        <v>35</v>
      </c>
      <c r="B4">
        <v>2149.66</v>
      </c>
      <c r="C4" t="s">
        <v>59</v>
      </c>
      <c r="D4" t="s">
        <v>60</v>
      </c>
      <c r="E4" t="s">
        <v>61</v>
      </c>
      <c r="F4">
        <v>116</v>
      </c>
      <c r="G4" t="s">
        <v>48</v>
      </c>
    </row>
    <row r="5" spans="1:7">
      <c r="A5" t="s">
        <v>43</v>
      </c>
      <c r="B5">
        <v>7031.54</v>
      </c>
      <c r="C5" t="s">
        <v>62</v>
      </c>
      <c r="D5" t="s">
        <v>63</v>
      </c>
      <c r="E5" t="s">
        <v>64</v>
      </c>
      <c r="F5">
        <v>104</v>
      </c>
      <c r="G5" t="s">
        <v>48</v>
      </c>
    </row>
    <row r="6" spans="1:7">
      <c r="A6" t="s">
        <v>9</v>
      </c>
      <c r="B6">
        <v>6410.1</v>
      </c>
      <c r="C6" t="s">
        <v>65</v>
      </c>
      <c r="D6" t="s">
        <v>66</v>
      </c>
      <c r="E6" t="s">
        <v>64</v>
      </c>
      <c r="F6">
        <v>95</v>
      </c>
      <c r="G6" t="s">
        <v>48</v>
      </c>
    </row>
    <row r="7" spans="1:7">
      <c r="A7" t="s">
        <v>26</v>
      </c>
      <c r="B7">
        <v>6955.13</v>
      </c>
      <c r="C7" t="s">
        <v>67</v>
      </c>
      <c r="D7" t="s">
        <v>68</v>
      </c>
      <c r="E7" t="s">
        <v>57</v>
      </c>
      <c r="F7">
        <v>80</v>
      </c>
      <c r="G7" t="s">
        <v>48</v>
      </c>
    </row>
    <row r="8" spans="1:7">
      <c r="A8" t="s">
        <v>35</v>
      </c>
      <c r="B8">
        <v>2692.56</v>
      </c>
      <c r="C8" t="s">
        <v>69</v>
      </c>
      <c r="D8" t="s">
        <v>70</v>
      </c>
      <c r="E8" t="s">
        <v>64</v>
      </c>
      <c r="F8">
        <v>91</v>
      </c>
      <c r="G8" t="s">
        <v>48</v>
      </c>
    </row>
    <row r="9" spans="1:7">
      <c r="A9" t="s">
        <v>43</v>
      </c>
      <c r="B9">
        <v>997.22</v>
      </c>
      <c r="C9" t="s">
        <v>71</v>
      </c>
      <c r="D9" t="s">
        <v>72</v>
      </c>
      <c r="E9" t="s">
        <v>61</v>
      </c>
      <c r="F9">
        <v>105</v>
      </c>
      <c r="G9" t="s">
        <v>48</v>
      </c>
    </row>
    <row r="10" spans="1:7">
      <c r="A10" t="s">
        <v>9</v>
      </c>
      <c r="B10">
        <v>10094.39</v>
      </c>
      <c r="C10" t="s">
        <v>60</v>
      </c>
      <c r="D10" t="s">
        <v>73</v>
      </c>
      <c r="E10" t="s">
        <v>64</v>
      </c>
      <c r="F10">
        <v>86</v>
      </c>
      <c r="G10" t="s">
        <v>48</v>
      </c>
    </row>
    <row r="11" spans="1:7">
      <c r="A11" t="s">
        <v>26</v>
      </c>
      <c r="B11">
        <v>2054.7199999999998</v>
      </c>
      <c r="C11" t="s">
        <v>74</v>
      </c>
      <c r="D11" t="s">
        <v>75</v>
      </c>
      <c r="E11" t="s">
        <v>61</v>
      </c>
      <c r="F11">
        <v>82</v>
      </c>
      <c r="G11" t="s">
        <v>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5FDE3-CA14-4AF5-A17B-E6398DBABC2E}">
  <dimension ref="A1:F25"/>
  <sheetViews>
    <sheetView tabSelected="1" workbookViewId="0">
      <selection activeCell="C15" sqref="C15"/>
    </sheetView>
  </sheetViews>
  <sheetFormatPr defaultRowHeight="14.45"/>
  <cols>
    <col min="2" max="2" width="11.85546875" customWidth="1"/>
    <col min="3" max="3" width="13.140625" customWidth="1"/>
    <col min="5" max="5" width="9.7109375" customWidth="1"/>
    <col min="6" max="6" width="13.7109375" customWidth="1"/>
  </cols>
  <sheetData>
    <row r="1" spans="1:6">
      <c r="A1" s="3" t="s">
        <v>76</v>
      </c>
      <c r="B1" s="3" t="s">
        <v>6</v>
      </c>
      <c r="C1" s="3" t="s">
        <v>77</v>
      </c>
      <c r="D1" s="3" t="s">
        <v>78</v>
      </c>
      <c r="E1" s="3" t="s">
        <v>79</v>
      </c>
      <c r="F1" s="3" t="s">
        <v>80</v>
      </c>
    </row>
    <row r="2" spans="1:6">
      <c r="A2" t="s">
        <v>81</v>
      </c>
      <c r="B2" t="s">
        <v>14</v>
      </c>
      <c r="C2">
        <v>111283</v>
      </c>
      <c r="D2">
        <v>106397</v>
      </c>
      <c r="E2">
        <v>4886</v>
      </c>
      <c r="F2">
        <v>62</v>
      </c>
    </row>
    <row r="3" spans="1:6">
      <c r="A3" t="s">
        <v>81</v>
      </c>
      <c r="B3" t="s">
        <v>82</v>
      </c>
      <c r="C3">
        <v>135401</v>
      </c>
      <c r="D3">
        <v>124972</v>
      </c>
      <c r="E3">
        <v>10429</v>
      </c>
      <c r="F3">
        <v>88</v>
      </c>
    </row>
    <row r="4" spans="1:6">
      <c r="A4" t="s">
        <v>81</v>
      </c>
      <c r="B4" t="s">
        <v>30</v>
      </c>
      <c r="C4">
        <v>116082</v>
      </c>
      <c r="D4">
        <v>106931</v>
      </c>
      <c r="E4">
        <v>9151</v>
      </c>
      <c r="F4">
        <v>128</v>
      </c>
    </row>
    <row r="5" spans="1:6">
      <c r="A5" t="s">
        <v>81</v>
      </c>
      <c r="B5" t="s">
        <v>39</v>
      </c>
      <c r="C5">
        <v>135877</v>
      </c>
      <c r="D5">
        <v>117292</v>
      </c>
      <c r="E5">
        <v>18585</v>
      </c>
      <c r="F5">
        <v>127</v>
      </c>
    </row>
    <row r="6" spans="1:6">
      <c r="A6" t="s">
        <v>83</v>
      </c>
      <c r="B6" t="s">
        <v>14</v>
      </c>
      <c r="C6">
        <v>126811</v>
      </c>
      <c r="D6">
        <v>144093</v>
      </c>
      <c r="E6">
        <v>-17282</v>
      </c>
      <c r="F6">
        <v>108</v>
      </c>
    </row>
    <row r="7" spans="1:6">
      <c r="A7" t="s">
        <v>83</v>
      </c>
      <c r="B7" t="s">
        <v>82</v>
      </c>
      <c r="C7">
        <v>102711</v>
      </c>
      <c r="D7">
        <v>104857</v>
      </c>
      <c r="E7">
        <v>-2146</v>
      </c>
      <c r="F7">
        <v>71</v>
      </c>
    </row>
    <row r="8" spans="1:6">
      <c r="A8" t="s">
        <v>83</v>
      </c>
      <c r="B8" t="s">
        <v>30</v>
      </c>
      <c r="C8">
        <v>106179</v>
      </c>
      <c r="D8">
        <v>102979</v>
      </c>
      <c r="E8">
        <v>3200</v>
      </c>
      <c r="F8">
        <v>176</v>
      </c>
    </row>
    <row r="9" spans="1:6">
      <c r="A9" t="s">
        <v>83</v>
      </c>
      <c r="B9" t="s">
        <v>39</v>
      </c>
      <c r="C9">
        <v>132499</v>
      </c>
      <c r="D9">
        <v>135328</v>
      </c>
      <c r="E9">
        <v>-2829</v>
      </c>
      <c r="F9">
        <v>46</v>
      </c>
    </row>
    <row r="10" spans="1:6">
      <c r="A10" t="s">
        <v>84</v>
      </c>
      <c r="B10" t="s">
        <v>14</v>
      </c>
      <c r="C10">
        <v>123032</v>
      </c>
      <c r="D10">
        <v>98818</v>
      </c>
      <c r="E10">
        <v>24214</v>
      </c>
      <c r="F10">
        <v>61</v>
      </c>
    </row>
    <row r="11" spans="1:6">
      <c r="A11" t="s">
        <v>84</v>
      </c>
      <c r="B11" t="s">
        <v>82</v>
      </c>
      <c r="C11">
        <v>145988</v>
      </c>
      <c r="D11">
        <v>149122</v>
      </c>
      <c r="E11">
        <v>-3134</v>
      </c>
      <c r="F11">
        <v>107</v>
      </c>
    </row>
    <row r="12" spans="1:6">
      <c r="A12" t="s">
        <v>84</v>
      </c>
      <c r="B12" t="s">
        <v>30</v>
      </c>
      <c r="C12">
        <v>156851</v>
      </c>
      <c r="D12">
        <v>129078</v>
      </c>
      <c r="E12">
        <v>27773</v>
      </c>
      <c r="F12">
        <v>106</v>
      </c>
    </row>
    <row r="13" spans="1:6">
      <c r="A13" t="s">
        <v>84</v>
      </c>
      <c r="B13" t="s">
        <v>39</v>
      </c>
      <c r="C13">
        <v>117172</v>
      </c>
      <c r="D13">
        <v>132843</v>
      </c>
      <c r="E13">
        <v>-15671</v>
      </c>
      <c r="F13">
        <v>86</v>
      </c>
    </row>
    <row r="14" spans="1:6">
      <c r="A14" t="s">
        <v>85</v>
      </c>
      <c r="B14" t="s">
        <v>14</v>
      </c>
      <c r="C14">
        <v>138163</v>
      </c>
      <c r="D14">
        <v>148934</v>
      </c>
      <c r="E14">
        <v>-10771</v>
      </c>
      <c r="F14">
        <v>158</v>
      </c>
    </row>
    <row r="15" spans="1:6">
      <c r="A15" t="s">
        <v>85</v>
      </c>
      <c r="B15" t="s">
        <v>82</v>
      </c>
      <c r="C15">
        <v>132296</v>
      </c>
      <c r="D15">
        <v>109840</v>
      </c>
      <c r="E15">
        <v>22456</v>
      </c>
      <c r="F15">
        <v>165</v>
      </c>
    </row>
    <row r="16" spans="1:6">
      <c r="A16" t="s">
        <v>85</v>
      </c>
      <c r="B16" t="s">
        <v>30</v>
      </c>
      <c r="C16">
        <v>122301</v>
      </c>
      <c r="D16">
        <v>101117</v>
      </c>
      <c r="E16">
        <v>21184</v>
      </c>
      <c r="F16">
        <v>177</v>
      </c>
    </row>
    <row r="17" spans="1:6">
      <c r="A17" t="s">
        <v>85</v>
      </c>
      <c r="B17" t="s">
        <v>39</v>
      </c>
      <c r="C17">
        <v>91236</v>
      </c>
      <c r="D17">
        <v>102840</v>
      </c>
      <c r="E17">
        <v>-11604</v>
      </c>
      <c r="F17">
        <v>87</v>
      </c>
    </row>
    <row r="18" spans="1:6">
      <c r="A18" t="s">
        <v>86</v>
      </c>
      <c r="B18" t="s">
        <v>14</v>
      </c>
      <c r="C18">
        <v>168993</v>
      </c>
      <c r="D18">
        <v>143554</v>
      </c>
      <c r="E18">
        <v>25439</v>
      </c>
      <c r="F18">
        <v>174</v>
      </c>
    </row>
    <row r="19" spans="1:6">
      <c r="A19" t="s">
        <v>86</v>
      </c>
      <c r="B19" t="s">
        <v>82</v>
      </c>
      <c r="C19">
        <v>147052</v>
      </c>
      <c r="D19">
        <v>145483</v>
      </c>
      <c r="E19">
        <v>1569</v>
      </c>
      <c r="F19">
        <v>75</v>
      </c>
    </row>
    <row r="20" spans="1:6">
      <c r="A20" t="s">
        <v>86</v>
      </c>
      <c r="B20" t="s">
        <v>30</v>
      </c>
      <c r="C20">
        <v>132694</v>
      </c>
      <c r="D20">
        <v>112756</v>
      </c>
      <c r="E20">
        <v>19938</v>
      </c>
      <c r="F20">
        <v>82</v>
      </c>
    </row>
    <row r="21" spans="1:6">
      <c r="A21" t="s">
        <v>86</v>
      </c>
      <c r="B21" t="s">
        <v>39</v>
      </c>
      <c r="C21">
        <v>98819</v>
      </c>
      <c r="D21">
        <v>82368</v>
      </c>
      <c r="E21">
        <v>16451</v>
      </c>
      <c r="F21">
        <v>106</v>
      </c>
    </row>
    <row r="22" spans="1:6">
      <c r="A22" t="s">
        <v>87</v>
      </c>
      <c r="B22" t="s">
        <v>14</v>
      </c>
      <c r="C22">
        <v>160789</v>
      </c>
      <c r="D22">
        <v>131983</v>
      </c>
      <c r="E22">
        <v>28806</v>
      </c>
      <c r="F22">
        <v>118</v>
      </c>
    </row>
    <row r="23" spans="1:6">
      <c r="A23" t="s">
        <v>87</v>
      </c>
      <c r="B23" t="s">
        <v>82</v>
      </c>
      <c r="C23">
        <v>119662</v>
      </c>
      <c r="D23">
        <v>122903</v>
      </c>
      <c r="E23">
        <v>-3241</v>
      </c>
      <c r="F23">
        <v>48</v>
      </c>
    </row>
    <row r="24" spans="1:6">
      <c r="A24" t="s">
        <v>87</v>
      </c>
      <c r="B24" t="s">
        <v>30</v>
      </c>
      <c r="C24">
        <v>81598</v>
      </c>
      <c r="D24">
        <v>97922</v>
      </c>
      <c r="E24">
        <v>-16324</v>
      </c>
      <c r="F24">
        <v>138</v>
      </c>
    </row>
    <row r="25" spans="1:6">
      <c r="A25" t="s">
        <v>87</v>
      </c>
      <c r="B25" t="s">
        <v>39</v>
      </c>
      <c r="C25">
        <v>107257</v>
      </c>
      <c r="D25">
        <v>92758</v>
      </c>
      <c r="E25">
        <v>14499</v>
      </c>
      <c r="F25">
        <v>151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059D-7369-4927-AC57-CEEF8E526338}">
  <dimension ref="A1:J44"/>
  <sheetViews>
    <sheetView topLeftCell="A32" workbookViewId="0">
      <selection activeCell="A44" sqref="A44"/>
    </sheetView>
  </sheetViews>
  <sheetFormatPr defaultRowHeight="14.45"/>
  <sheetData>
    <row r="1" spans="1:8" ht="30.75">
      <c r="A1" s="5" t="s">
        <v>88</v>
      </c>
    </row>
    <row r="2" spans="1:8">
      <c r="A2" t="s">
        <v>89</v>
      </c>
    </row>
    <row r="5" spans="1:8" ht="18">
      <c r="A5" s="6" t="s">
        <v>90</v>
      </c>
    </row>
    <row r="6" spans="1:8">
      <c r="A6" t="e" cm="1" vm="1">
        <f t="array" ref="A6">_xlfn._xlws.PY(0,1,OpenInvoices[[#Headers],[#Data]])</f>
        <v>#VALUE!</v>
      </c>
    </row>
    <row r="8" spans="1:8" ht="15.75">
      <c r="A8" s="7" t="s">
        <v>91</v>
      </c>
    </row>
    <row r="9" spans="1:8">
      <c r="A9" t="str" cm="1">
        <f t="array" ref="A9:H19">IFERROR(_FV(A6,"arrayPreview"),_xlfn._DF_Python_str(A6))</f>
        <v/>
      </c>
      <c r="B9" t="str">
        <v>Vendor</v>
      </c>
      <c r="C9" t="str">
        <v>Invoice Amount</v>
      </c>
      <c r="D9" t="str">
        <v>Invoice Date</v>
      </c>
      <c r="E9" t="str">
        <v>Due Date</v>
      </c>
      <c r="F9" t="str">
        <v>Payment Terms</v>
      </c>
      <c r="G9" t="str">
        <v>Days Outstanding</v>
      </c>
      <c r="H9" t="str">
        <v>Status</v>
      </c>
    </row>
    <row r="10" spans="1:8">
      <c r="A10">
        <v>0</v>
      </c>
      <c r="B10" t="str">
        <v>Acme Systems</v>
      </c>
      <c r="C10">
        <v>8160.94</v>
      </c>
      <c r="D10" t="str">
        <v>2024-01-17</v>
      </c>
      <c r="E10" t="str">
        <v>2024-03-17</v>
      </c>
      <c r="F10" t="str">
        <v>Net 60</v>
      </c>
      <c r="G10">
        <v>166</v>
      </c>
      <c r="H10" t="str">
        <v>Open</v>
      </c>
    </row>
    <row r="11" spans="1:8">
      <c r="A11">
        <v>1</v>
      </c>
      <c r="B11" t="str">
        <v>Northwind Tech</v>
      </c>
      <c r="C11">
        <v>3035.79</v>
      </c>
      <c r="D11" t="str">
        <v>2024-02-11</v>
      </c>
      <c r="E11" t="str">
        <v>2024-04-11</v>
      </c>
      <c r="F11" t="str">
        <v>Net 60</v>
      </c>
      <c r="G11">
        <v>141</v>
      </c>
      <c r="H11" t="str">
        <v>Open</v>
      </c>
    </row>
    <row r="12" spans="1:8">
      <c r="A12">
        <v>2</v>
      </c>
      <c r="B12" t="str">
        <v>PaperTrail Office</v>
      </c>
      <c r="C12">
        <v>2149.66</v>
      </c>
      <c r="D12" t="str">
        <v>2024-03-07</v>
      </c>
      <c r="E12" t="str">
        <v>2024-04-06</v>
      </c>
      <c r="F12" t="str">
        <v>Net 30</v>
      </c>
      <c r="G12">
        <v>116</v>
      </c>
      <c r="H12" t="str">
        <v>Open</v>
      </c>
    </row>
    <row r="13" spans="1:8">
      <c r="A13">
        <v>3</v>
      </c>
      <c r="B13" t="str">
        <v>CloudCart</v>
      </c>
      <c r="C13">
        <v>7031.54</v>
      </c>
      <c r="D13" t="str">
        <v>2024-03-19</v>
      </c>
      <c r="E13" t="str">
        <v>2024-05-03</v>
      </c>
      <c r="F13" t="str">
        <v>Net 45</v>
      </c>
      <c r="G13">
        <v>104</v>
      </c>
      <c r="H13" t="str">
        <v>Open</v>
      </c>
    </row>
    <row r="14" spans="1:8">
      <c r="A14">
        <v>4</v>
      </c>
      <c r="B14" t="str">
        <v>Acme Systems</v>
      </c>
      <c r="C14">
        <v>6410.1</v>
      </c>
      <c r="D14" t="str">
        <v>2024-03-28</v>
      </c>
      <c r="E14" t="str">
        <v>2024-05-12</v>
      </c>
      <c r="F14" t="str">
        <v>Net 45</v>
      </c>
      <c r="G14">
        <v>95</v>
      </c>
      <c r="H14" t="str">
        <v>Open</v>
      </c>
    </row>
    <row r="15" spans="1:8">
      <c r="A15">
        <v>5</v>
      </c>
      <c r="B15" t="str">
        <v>Northwind Tech</v>
      </c>
      <c r="C15">
        <v>6955.13</v>
      </c>
      <c r="D15" t="str">
        <v>2024-04-12</v>
      </c>
      <c r="E15" t="str">
        <v>2024-06-11</v>
      </c>
      <c r="F15" t="str">
        <v>Net 60</v>
      </c>
      <c r="G15">
        <v>80</v>
      </c>
      <c r="H15" t="str">
        <v>Open</v>
      </c>
    </row>
    <row r="16" spans="1:8">
      <c r="A16">
        <v>6</v>
      </c>
      <c r="B16" t="str">
        <v>PaperTrail Office</v>
      </c>
      <c r="C16">
        <v>2692.56</v>
      </c>
      <c r="D16" t="str">
        <v>2024-04-01</v>
      </c>
      <c r="E16" t="str">
        <v>2024-05-16</v>
      </c>
      <c r="F16" t="str">
        <v>Net 45</v>
      </c>
      <c r="G16">
        <v>91</v>
      </c>
      <c r="H16" t="str">
        <v>Open</v>
      </c>
    </row>
    <row r="17" spans="1:10">
      <c r="A17">
        <v>7</v>
      </c>
      <c r="B17" t="str">
        <v>CloudCart</v>
      </c>
      <c r="C17">
        <v>997.22</v>
      </c>
      <c r="D17" t="str">
        <v>2024-03-18</v>
      </c>
      <c r="E17" t="str">
        <v>2024-04-17</v>
      </c>
      <c r="F17" t="str">
        <v>Net 30</v>
      </c>
      <c r="G17">
        <v>105</v>
      </c>
      <c r="H17" t="str">
        <v>Open</v>
      </c>
    </row>
    <row r="18" spans="1:10">
      <c r="A18">
        <v>8</v>
      </c>
      <c r="B18" t="str">
        <v>Acme Systems</v>
      </c>
      <c r="C18">
        <v>10094.39</v>
      </c>
      <c r="D18" t="str">
        <v>2024-04-06</v>
      </c>
      <c r="E18" t="str">
        <v>2024-05-21</v>
      </c>
      <c r="F18" t="str">
        <v>Net 45</v>
      </c>
      <c r="G18">
        <v>86</v>
      </c>
      <c r="H18" t="str">
        <v>Open</v>
      </c>
    </row>
    <row r="19" spans="1:10">
      <c r="A19">
        <v>9</v>
      </c>
      <c r="B19" t="str">
        <v>Northwind Tech</v>
      </c>
      <c r="C19">
        <v>2054.7199999999998</v>
      </c>
      <c r="D19" t="str">
        <v>2024-04-10</v>
      </c>
      <c r="E19" t="str">
        <v>2024-05-10</v>
      </c>
      <c r="F19" t="str">
        <v>Net 30</v>
      </c>
      <c r="G19">
        <v>82</v>
      </c>
      <c r="H19" t="str">
        <v>Open</v>
      </c>
    </row>
    <row r="22" spans="1:10" ht="18">
      <c r="A22" s="6" t="s">
        <v>92</v>
      </c>
    </row>
    <row r="23" spans="1:10">
      <c r="A23" t="e" cm="1" vm="2">
        <f t="array" ref="A23">_xlfn._xlws.PY(1,1)</f>
        <v>#VALUE!</v>
      </c>
    </row>
    <row r="25" spans="1:10" ht="15.75">
      <c r="A25" s="7" t="s">
        <v>91</v>
      </c>
    </row>
    <row r="26" spans="1:10">
      <c r="A26" t="str" cm="1">
        <f t="array" ref="A26:J30">IFERROR(_FV(A23,"arrayPreview"),_xlfn._DF_Python_str(A23))</f>
        <v/>
      </c>
      <c r="B26" t="str">
        <v>Vendor</v>
      </c>
      <c r="C26" t="str">
        <v>Invoice Amount_count</v>
      </c>
      <c r="D26" t="str">
        <v>Invoice Amount_sum</v>
      </c>
      <c r="E26" t="str">
        <v>Invoice Amount_mean</v>
      </c>
      <c r="F26" t="str">
        <v>Invoice Amount_max</v>
      </c>
      <c r="G26" t="str">
        <v>Invoice Amount_min</v>
      </c>
      <c r="H26" t="str">
        <v>Days Outstanding_mean</v>
      </c>
      <c r="I26" t="str">
        <v>Days Outstanding_max</v>
      </c>
      <c r="J26" t="str">
        <v>Days Outstanding_min</v>
      </c>
    </row>
    <row r="27" spans="1:10">
      <c r="A27">
        <v>0</v>
      </c>
      <c r="B27" t="str">
        <v>Acme Systems</v>
      </c>
      <c r="C27">
        <v>3</v>
      </c>
      <c r="D27">
        <v>24665.43</v>
      </c>
      <c r="E27">
        <v>8221.81</v>
      </c>
      <c r="F27">
        <v>10094.39</v>
      </c>
      <c r="G27">
        <v>6410.1</v>
      </c>
      <c r="H27">
        <v>115.66666666666667</v>
      </c>
      <c r="I27">
        <v>166</v>
      </c>
      <c r="J27">
        <v>86</v>
      </c>
    </row>
    <row r="28" spans="1:10">
      <c r="A28">
        <v>1</v>
      </c>
      <c r="B28" t="str">
        <v>CloudCart</v>
      </c>
      <c r="C28">
        <v>2</v>
      </c>
      <c r="D28">
        <v>8028.76</v>
      </c>
      <c r="E28">
        <v>4014.38</v>
      </c>
      <c r="F28">
        <v>7031.54</v>
      </c>
      <c r="G28">
        <v>997.22</v>
      </c>
      <c r="H28">
        <v>104.5</v>
      </c>
      <c r="I28">
        <v>105</v>
      </c>
      <c r="J28">
        <v>104</v>
      </c>
    </row>
    <row r="29" spans="1:10">
      <c r="A29">
        <v>2</v>
      </c>
      <c r="B29" t="str">
        <v>Northwind Tech</v>
      </c>
      <c r="C29">
        <v>3</v>
      </c>
      <c r="D29">
        <v>12045.64</v>
      </c>
      <c r="E29">
        <v>4015.2133333333331</v>
      </c>
      <c r="F29">
        <v>6955.13</v>
      </c>
      <c r="G29">
        <v>2054.7199999999998</v>
      </c>
      <c r="H29">
        <v>101</v>
      </c>
      <c r="I29">
        <v>141</v>
      </c>
      <c r="J29">
        <v>80</v>
      </c>
    </row>
    <row r="30" spans="1:10">
      <c r="A30">
        <v>3</v>
      </c>
      <c r="B30" t="str">
        <v>PaperTrail Office</v>
      </c>
      <c r="C30">
        <v>2</v>
      </c>
      <c r="D30">
        <v>4842.2199999999993</v>
      </c>
      <c r="E30">
        <v>2421.1099999999997</v>
      </c>
      <c r="F30">
        <v>2692.56</v>
      </c>
      <c r="G30">
        <v>2149.66</v>
      </c>
      <c r="H30">
        <v>103.5</v>
      </c>
      <c r="I30">
        <v>116</v>
      </c>
      <c r="J30">
        <v>91</v>
      </c>
    </row>
    <row r="33" spans="1:8" ht="18">
      <c r="A33" s="6" t="s">
        <v>93</v>
      </c>
    </row>
    <row r="34" spans="1:8">
      <c r="A34" t="e" cm="1" vm="3">
        <f t="array" ref="A34">_xlfn._xlws.PY(2,1)</f>
        <v>#VALUE!</v>
      </c>
    </row>
    <row r="36" spans="1:8" ht="15.75">
      <c r="A36" s="7" t="s">
        <v>91</v>
      </c>
    </row>
    <row r="37" spans="1:8">
      <c r="A37" t="str" cm="1">
        <f t="array" ref="A37:H40">IFERROR(_FV(A34,"arrayPreview"),_xlfn._DF_Python_str(A34))</f>
        <v/>
      </c>
      <c r="B37" t="str">
        <v>Payment Terms</v>
      </c>
      <c r="C37" t="str">
        <v>Invoice Amount_count</v>
      </c>
      <c r="D37" t="str">
        <v>Invoice Amount_sum</v>
      </c>
      <c r="E37" t="str">
        <v>Invoice Amount_mean</v>
      </c>
      <c r="F37" t="str">
        <v>Days Outstanding_mean</v>
      </c>
      <c r="G37" t="str">
        <v>Days Outstanding_max</v>
      </c>
      <c r="H37" t="str">
        <v>Days Outstanding_min</v>
      </c>
    </row>
    <row r="38" spans="1:8">
      <c r="A38">
        <v>0</v>
      </c>
      <c r="B38" t="str">
        <v>Net 30</v>
      </c>
      <c r="C38">
        <v>3</v>
      </c>
      <c r="D38">
        <v>5201.5999999999995</v>
      </c>
      <c r="E38">
        <v>1733.8666666666666</v>
      </c>
      <c r="F38">
        <v>101</v>
      </c>
      <c r="G38">
        <v>116</v>
      </c>
      <c r="H38">
        <v>82</v>
      </c>
    </row>
    <row r="39" spans="1:8">
      <c r="A39">
        <v>1</v>
      </c>
      <c r="B39" t="str">
        <v>Net 45</v>
      </c>
      <c r="C39">
        <v>4</v>
      </c>
      <c r="D39">
        <v>26228.59</v>
      </c>
      <c r="E39">
        <v>6557.1475</v>
      </c>
      <c r="F39">
        <v>94</v>
      </c>
      <c r="G39">
        <v>104</v>
      </c>
      <c r="H39">
        <v>86</v>
      </c>
    </row>
    <row r="40" spans="1:8">
      <c r="A40">
        <v>2</v>
      </c>
      <c r="B40" t="str">
        <v>Net 60</v>
      </c>
      <c r="C40">
        <v>3</v>
      </c>
      <c r="D40">
        <v>18151.86</v>
      </c>
      <c r="E40">
        <v>6050.62</v>
      </c>
      <c r="F40">
        <v>129</v>
      </c>
      <c r="G40">
        <v>166</v>
      </c>
      <c r="H40">
        <v>80</v>
      </c>
    </row>
    <row r="43" spans="1:8" ht="18">
      <c r="A43" s="6" t="s">
        <v>94</v>
      </c>
    </row>
    <row r="44" spans="1:8">
      <c r="A44" t="e" cm="1" vm="4">
        <f t="array" ref="A44">_xlfn._xlws.PY(3,1)</f>
        <v>#VALUE!</v>
      </c>
    </row>
  </sheetData>
  <pageMargins left="0.7" right="0.7" top="0.75" bottom="0.75" header="0.3" footer="0.3"/>
  <customProperties>
    <customPr name="isPythonAnalysisSheet" r:id="rId1"/>
    <customPr name="lastPythonCell" r:id="rId2"/>
  </customPropertie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12CA2C-AD70-49EF-B885-F7FD853DD8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George Mount</cp:lastModifiedBy>
  <cp:revision/>
  <dcterms:created xsi:type="dcterms:W3CDTF">2015-06-05T18:17:20Z</dcterms:created>
  <dcterms:modified xsi:type="dcterms:W3CDTF">2026-01-19T22:29:13Z</dcterms:modified>
  <cp:category/>
  <cp:contentStatus/>
</cp:coreProperties>
</file>